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EC4E5CD-59D9-4B03-8EB7-93913270A39F}" xr6:coauthVersionLast="47" xr6:coauthVersionMax="47" xr10:uidLastSave="{00000000-0000-0000-0000-000000000000}"/>
  <bookViews>
    <workbookView xWindow="-120" yWindow="-120" windowWidth="20730" windowHeight="11040" xr2:uid="{41C2374E-C430-40AE-8F55-923DD2E59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C6" i="1"/>
  <c r="C7" i="1" s="1"/>
  <c r="E7" i="1"/>
  <c r="D7" i="1"/>
  <c r="D6" i="1"/>
  <c r="E6" i="1"/>
  <c r="F6" i="1"/>
</calcChain>
</file>

<file path=xl/sharedStrings.xml><?xml version="1.0" encoding="utf-8"?>
<sst xmlns="http://schemas.openxmlformats.org/spreadsheetml/2006/main" count="17" uniqueCount="16">
  <si>
    <t>Company</t>
  </si>
  <si>
    <t>Ticker</t>
  </si>
  <si>
    <t>P/E Ratio</t>
  </si>
  <si>
    <t>P/B Ratio</t>
  </si>
  <si>
    <t>P/S Ratio</t>
  </si>
  <si>
    <t>EV/EBITDA</t>
  </si>
  <si>
    <t>Walmart</t>
  </si>
  <si>
    <t>WMT</t>
  </si>
  <si>
    <t>Costco</t>
  </si>
  <si>
    <t>COST</t>
  </si>
  <si>
    <t>Target</t>
  </si>
  <si>
    <t>TGT</t>
  </si>
  <si>
    <t>Kroger</t>
  </si>
  <si>
    <t>KR</t>
  </si>
  <si>
    <t>Average (Competitors)</t>
  </si>
  <si>
    <t>Walmart vs.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</si>
</sst>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;\-0.00;0.00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sz val="11"/>
      <color rgb="FF9C0006"/>
      <name val="Arial"/>
      <family val="2"/>
      <scheme val="minor"/>
    </font>
    <font>
      <sz val="10"/>
      <color rgb="FF262626"/>
      <name val="Calibri"/>
      <family val="2"/>
    </font>
    <font>
      <b/>
      <sz val="10"/>
      <color rgb="FF262626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6" fillId="6" borderId="2" xfId="2" applyFont="1" applyFill="1" applyBorder="1" applyAlignment="1">
      <alignment horizontal="left" vertical="center" wrapText="1"/>
    </xf>
    <xf numFmtId="0" fontId="6" fillId="6" borderId="2" xfId="1" applyFont="1" applyFill="1" applyBorder="1" applyAlignment="1">
      <alignment horizontal="center" vertical="center" wrapText="1"/>
    </xf>
    <xf numFmtId="2" fontId="6" fillId="6" borderId="2" xfId="1" applyNumberFormat="1" applyFont="1" applyFill="1" applyBorder="1" applyAlignment="1">
      <alignment horizontal="right" vertical="center" wrapText="1"/>
    </xf>
    <xf numFmtId="0" fontId="5" fillId="9" borderId="2" xfId="4" applyFont="1" applyFill="1" applyBorder="1" applyAlignment="1">
      <alignment horizontal="left" vertical="center" wrapText="1"/>
    </xf>
    <xf numFmtId="0" fontId="5" fillId="9" borderId="2" xfId="5" applyFont="1" applyFill="1" applyBorder="1" applyAlignment="1">
      <alignment horizontal="center" vertical="center" wrapText="1"/>
    </xf>
    <xf numFmtId="2" fontId="5" fillId="9" borderId="2" xfId="0" applyNumberFormat="1" applyFont="1" applyFill="1" applyBorder="1" applyAlignment="1">
      <alignment horizontal="right" vertical="center"/>
    </xf>
    <xf numFmtId="2" fontId="5" fillId="9" borderId="2" xfId="0" applyNumberFormat="1" applyFont="1" applyFill="1" applyBorder="1" applyAlignment="1">
      <alignment horizontal="right" vertical="center" wrapText="1"/>
    </xf>
    <xf numFmtId="0" fontId="4" fillId="8" borderId="2" xfId="4" applyFont="1" applyFill="1" applyBorder="1" applyAlignment="1">
      <alignment horizontal="left" vertical="center" wrapText="1"/>
    </xf>
    <xf numFmtId="0" fontId="4" fillId="8" borderId="2" xfId="5" applyFont="1" applyFill="1" applyBorder="1" applyAlignment="1">
      <alignment horizontal="center" vertical="center" wrapText="1"/>
    </xf>
    <xf numFmtId="2" fontId="4" fillId="8" borderId="2" xfId="0" applyNumberFormat="1" applyFont="1" applyFill="1" applyBorder="1" applyAlignment="1">
      <alignment horizontal="right" vertical="center" wrapText="1"/>
    </xf>
    <xf numFmtId="0" fontId="4" fillId="7" borderId="2" xfId="4" applyFont="1" applyFill="1" applyBorder="1" applyAlignment="1">
      <alignment horizontal="left" vertical="center" wrapText="1"/>
    </xf>
    <xf numFmtId="0" fontId="4" fillId="7" borderId="2" xfId="5" applyFont="1" applyFill="1" applyBorder="1" applyAlignment="1">
      <alignment horizontal="center" vertical="center" wrapText="1"/>
    </xf>
    <xf numFmtId="2" fontId="4" fillId="7" borderId="2" xfId="0" applyNumberFormat="1" applyFont="1" applyFill="1" applyBorder="1" applyAlignment="1">
      <alignment horizontal="right" vertical="center" wrapText="1"/>
    </xf>
    <xf numFmtId="0" fontId="5" fillId="10" borderId="2" xfId="3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2" fontId="5" fillId="10" borderId="2" xfId="0" applyNumberFormat="1" applyFont="1" applyFill="1" applyBorder="1" applyAlignment="1">
      <alignment horizontal="right" vertical="center"/>
    </xf>
    <xf numFmtId="2" fontId="5" fillId="10" borderId="2" xfId="0" applyNumberFormat="1" applyFont="1" applyFill="1" applyBorder="1" applyAlignment="1">
      <alignment horizontal="right" vertical="center" wrapText="1"/>
    </xf>
    <xf numFmtId="0" fontId="5" fillId="11" borderId="3" xfId="3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center" vertical="center" wrapText="1"/>
    </xf>
    <xf numFmtId="164" fontId="7" fillId="11" borderId="3" xfId="0" applyNumberFormat="1" applyFont="1" applyFill="1" applyBorder="1" applyAlignment="1">
      <alignment horizontal="right" vertical="center" wrapText="1"/>
    </xf>
  </cellXfs>
  <cellStyles count="6">
    <cellStyle name="20% - Accent3" xfId="4" builtinId="38"/>
    <cellStyle name="20% - Accent4" xfId="5" builtinId="42"/>
    <cellStyle name="40% - Accent1" xfId="3" builtinId="31"/>
    <cellStyle name="Bad" xfId="2" builtinId="27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2A10-210B-4AF6-B2FC-BFAA4A2166A4}">
  <sheetPr codeName="Sheet1"/>
  <dimension ref="A1:F7"/>
  <sheetViews>
    <sheetView showGridLines="0" tabSelected="1" workbookViewId="0">
      <pane ySplit="1" topLeftCell="A2" activePane="bottomLeft" state="frozen"/>
      <selection pane="bottomLeft" activeCell="J9" sqref="J9"/>
    </sheetView>
  </sheetViews>
  <sheetFormatPr defaultRowHeight="14.25" x14ac:dyDescent="0.2"/>
  <cols>
    <col min="1" max="1" width="24.625" style="1" customWidth="1"/>
    <col min="2" max="2" width="10.625" customWidth="1"/>
    <col min="3" max="6" width="14.625" customWidth="1"/>
  </cols>
  <sheetData>
    <row r="1" spans="1:6" ht="27.95" customHeight="1" x14ac:dyDescent="0.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0" customHeight="1" x14ac:dyDescent="0.2">
      <c r="A2" s="5" t="s">
        <v>6</v>
      </c>
      <c r="B2" s="6" t="s">
        <v>7</v>
      </c>
      <c r="C2" s="7">
        <v>39.46</v>
      </c>
      <c r="D2" s="8">
        <v>9.3800000000000008</v>
      </c>
      <c r="E2" s="8">
        <v>1.23</v>
      </c>
      <c r="F2" s="8">
        <v>19.7</v>
      </c>
    </row>
    <row r="3" spans="1:6" ht="30" customHeight="1" x14ac:dyDescent="0.2">
      <c r="A3" s="9" t="s">
        <v>8</v>
      </c>
      <c r="B3" s="10" t="s">
        <v>9</v>
      </c>
      <c r="C3" s="11">
        <v>47.39</v>
      </c>
      <c r="D3" s="11">
        <v>12.6</v>
      </c>
      <c r="E3" s="11">
        <v>1.44</v>
      </c>
      <c r="F3" s="11">
        <v>28.37</v>
      </c>
    </row>
    <row r="4" spans="1:6" ht="30" customHeight="1" x14ac:dyDescent="0.2">
      <c r="A4" s="12" t="s">
        <v>10</v>
      </c>
      <c r="B4" s="13" t="s">
        <v>11</v>
      </c>
      <c r="C4" s="14">
        <v>19.420000000000002</v>
      </c>
      <c r="D4" s="14">
        <v>4</v>
      </c>
      <c r="E4" s="14">
        <v>0.62</v>
      </c>
      <c r="F4" s="14">
        <v>10.09</v>
      </c>
    </row>
    <row r="5" spans="1:6" ht="30" customHeight="1" x14ac:dyDescent="0.2">
      <c r="A5" s="9" t="s">
        <v>12</v>
      </c>
      <c r="B5" s="10" t="s">
        <v>13</v>
      </c>
      <c r="C5" s="11">
        <v>33.22</v>
      </c>
      <c r="D5" s="11">
        <v>5.47</v>
      </c>
      <c r="E5" s="11">
        <v>0.25</v>
      </c>
      <c r="F5" s="11">
        <v>9.6</v>
      </c>
    </row>
    <row r="6" spans="1:6" ht="50.1" customHeight="1" x14ac:dyDescent="0.2">
      <c r="A6" s="15" t="s">
        <v>14</v>
      </c>
      <c r="B6" s="16"/>
      <c r="C6" s="17">
        <f>AVERAGE(C3:C5)</f>
        <v>33.343333333333334</v>
      </c>
      <c r="D6" s="18">
        <f>AVERAGE(D3:D5)</f>
        <v>7.3566666666666665</v>
      </c>
      <c r="E6" s="18">
        <f>AVERAGE(E3:E5)</f>
        <v>0.77</v>
      </c>
      <c r="F6" s="18">
        <f>AVERAGE(F3:F5)</f>
        <v>16.02</v>
      </c>
    </row>
    <row r="7" spans="1:6" ht="50.1" customHeight="1" x14ac:dyDescent="0.2">
      <c r="A7" s="19" t="s">
        <v>15</v>
      </c>
      <c r="B7" s="20" t="s">
        <v>7</v>
      </c>
      <c r="C7" s="21">
        <f>C2 -C6</f>
        <v>6.1166666666666671</v>
      </c>
      <c r="D7" s="21">
        <f>D2 -D6</f>
        <v>2.0233333333333343</v>
      </c>
      <c r="E7" s="21">
        <f>E2 -E6</f>
        <v>0.45999999999999996</v>
      </c>
      <c r="F7" s="21">
        <f>F2 -F6</f>
        <v>3.6799999999999997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ross</dc:creator>
  <cp:lastModifiedBy>mike ross</cp:lastModifiedBy>
  <dcterms:created xsi:type="dcterms:W3CDTF">2026-08-07T13:27:41Z</dcterms:created>
  <dcterms:modified xsi:type="dcterms:W3CDTF">2026-08-07T14:36:37Z</dcterms:modified>
</cp:coreProperties>
</file>